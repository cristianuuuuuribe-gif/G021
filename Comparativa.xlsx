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5985478c7261aa/Desktop/TRABAJO PRÁCTICO/"/>
    </mc:Choice>
  </mc:AlternateContent>
  <xr:revisionPtr revIDLastSave="55" documentId="8_{9110A26E-432B-4C64-8450-FB0A60A281F8}" xr6:coauthVersionLast="47" xr6:coauthVersionMax="47" xr10:uidLastSave="{24D027DD-56A3-4B77-9541-B3C1BB56F3DE}"/>
  <bookViews>
    <workbookView xWindow="-108" yWindow="-108" windowWidth="23256" windowHeight="12456" activeTab="2" xr2:uid="{8A237CBB-B5C8-4B03-A2CB-7C1FFBE606C4}"/>
  </bookViews>
  <sheets>
    <sheet name="2017" sheetId="2" r:id="rId1"/>
    <sheet name="2025" sheetId="3" r:id="rId2"/>
    <sheet name="Comparativa" sheetId="4" r:id="rId3"/>
  </sheets>
  <definedNames>
    <definedName name="DatosExternos_1" localSheetId="0" hidden="1">'2017'!$A$1:$D$10</definedName>
    <definedName name="DatosExternos_1" localSheetId="1" hidden="1">'2025'!$A$1:$D$10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2" i="4"/>
  <c r="E8" i="2"/>
  <c r="F8" i="2" s="1"/>
  <c r="B3" i="4"/>
  <c r="B2" i="4"/>
  <c r="E10" i="3"/>
  <c r="F10" i="3" s="1"/>
  <c r="E2" i="3"/>
  <c r="E3" i="3"/>
  <c r="E4" i="3"/>
  <c r="E5" i="3"/>
  <c r="E6" i="3"/>
  <c r="E7" i="3"/>
  <c r="E8" i="3"/>
  <c r="E9" i="3"/>
  <c r="F2" i="3"/>
  <c r="F2" i="2"/>
  <c r="F3" i="2"/>
  <c r="F4" i="2"/>
  <c r="F5" i="2"/>
  <c r="F6" i="2"/>
  <c r="F7" i="2"/>
  <c r="F9" i="2"/>
  <c r="E10" i="2"/>
  <c r="F10" i="2" s="1"/>
  <c r="E2" i="2"/>
  <c r="E3" i="2"/>
  <c r="E4" i="2"/>
  <c r="E5" i="2"/>
  <c r="E6" i="2"/>
  <c r="E7" i="2"/>
  <c r="E9" i="2"/>
  <c r="F3" i="3"/>
  <c r="F4" i="3"/>
  <c r="F5" i="3"/>
  <c r="F6" i="3"/>
  <c r="F7" i="3"/>
  <c r="F8" i="3"/>
  <c r="F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068FD-4185-4FEA-83F7-501F9F4DA991}" keepAlive="1" name="Consulta - 2017" description="Conexión a la consulta '2017' en el libro." type="5" refreshedVersion="8" background="1" saveData="1">
    <dbPr connection="Provider=Microsoft.Mashup.OleDb.1;Data Source=$Workbook$;Location=2017;Extended Properties=&quot;&quot;" command="SELECT * FROM [2017]"/>
  </connection>
  <connection id="2" xr16:uid="{3DAE9AB2-311B-4439-9E97-9F682459E4BD}" keepAlive="1" name="Consulta - 2025" description="Conexión a la consulta '2025' en el libro." type="5" refreshedVersion="8" background="1" saveData="1">
    <dbPr connection="Provider=Microsoft.Mashup.OleDb.1;Data Source=$Workbook$;Location=2025;Extended Properties=&quot;&quot;" command="SELECT * FROM [2025]"/>
  </connection>
</connections>
</file>

<file path=xl/sharedStrings.xml><?xml version="1.0" encoding="utf-8"?>
<sst xmlns="http://schemas.openxmlformats.org/spreadsheetml/2006/main" count="45" uniqueCount="27">
  <si>
    <t>RasterValue</t>
  </si>
  <si>
    <t>PixelSum</t>
  </si>
  <si>
    <t>Percentage %</t>
  </si>
  <si>
    <t>Area [metre^2]</t>
  </si>
  <si>
    <t xml:space="preserve">km2 </t>
  </si>
  <si>
    <t>%</t>
  </si>
  <si>
    <t>km2</t>
  </si>
  <si>
    <t>Agua</t>
  </si>
  <si>
    <t>Arboles</t>
  </si>
  <si>
    <t>Cultivos</t>
  </si>
  <si>
    <t>Vegetacion inundada</t>
  </si>
  <si>
    <t>Área construida</t>
  </si>
  <si>
    <t>Suelo desnudo</t>
  </si>
  <si>
    <t>Nieve/Hielo</t>
  </si>
  <si>
    <t>Pastizales</t>
  </si>
  <si>
    <t xml:space="preserve">2017 (km2) </t>
  </si>
  <si>
    <t>2025 (km2)</t>
  </si>
  <si>
    <t>Variación (km2)</t>
  </si>
  <si>
    <t>Variación (%)</t>
  </si>
  <si>
    <t>10,4 +</t>
  </si>
  <si>
    <t>13,7 -</t>
  </si>
  <si>
    <t>4,96 -</t>
  </si>
  <si>
    <t>1,6 +</t>
  </si>
  <si>
    <t>2,23 -</t>
  </si>
  <si>
    <t>0,075 +</t>
  </si>
  <si>
    <t>0,4622 +</t>
  </si>
  <si>
    <t>0,08 -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</si>
</sst>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F111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3" xfId="0" applyFont="1" applyFill="1" applyBorder="1"/>
    <xf numFmtId="0" fontId="0" fillId="0" borderId="3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4D62EB-06E2-4E50-850E-54AE3059A30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RasterValue" tableColumnId="1"/>
      <queryTableField id="2" name="PixelSum" tableColumnId="2"/>
      <queryTableField id="3" name="Percentage %" tableColumnId="3"/>
      <queryTableField id="4" name="Area [metre^2]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C2FC96F-CCD7-4740-8D1B-4C7603DA1878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RasterValue" tableColumnId="1"/>
      <queryTableField id="2" name="PixelSum" tableColumnId="2"/>
      <queryTableField id="3" name="Percentage %" tableColumnId="3"/>
      <queryTableField id="4" name="Area [metre^2]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3F020-D450-409C-9BDC-8E0735AF094F}" name="_2017" displayName="_2017" ref="A1:F10" tableType="queryTable" totalsRowShown="0">
  <autoFilter ref="A1:F10" xr:uid="{B723F020-D450-409C-9BDC-8E0735AF094F}"/>
  <tableColumns count="6">
    <tableColumn id="1" xr3:uid="{357A1B30-1826-4DFB-BB72-86949CAC3468}" uniqueName="1" name="RasterValue" queryTableFieldId="1"/>
    <tableColumn id="2" xr3:uid="{B952CDA1-7EE2-4C97-A534-172B7BCFFD73}" uniqueName="2" name="PixelSum" queryTableFieldId="2"/>
    <tableColumn id="3" xr3:uid="{3EAD7170-A4F5-4C8E-82EA-0F8993CB8B5A}" uniqueName="3" name="Percentage %" queryTableFieldId="3"/>
    <tableColumn id="4" xr3:uid="{BD4C296F-886A-40F0-A412-ABC33942C210}" uniqueName="4" name="Area [metre^2]" queryTableFieldId="4"/>
    <tableColumn id="5" xr3:uid="{F075770C-6B0C-44B7-BA97-8956288A3CC4}" uniqueName="5" name="km2 " queryTableFieldId="5" dataDxfId="2">
      <calculatedColumnFormula>_2017[[#This Row],[Area '[metre^2']]]/1000000</calculatedColumnFormula>
    </tableColumn>
    <tableColumn id="6" xr3:uid="{72916043-90BA-4E2A-9957-6F284402212A}" uniqueName="6" name="%" queryTableFieldId="6" dataDxfId="1">
      <calculatedColumnFormula>_2017[[#This Row],[km2 ]]/614.5613*100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D8C3E-E669-4C9F-9615-55C54503D3EB}" name="_2025" displayName="_2025" ref="A1:F10" tableType="queryTable" totalsRowShown="0">
  <autoFilter ref="A1:F10" xr:uid="{1A4D8C3E-E669-4C9F-9615-55C54503D3EB}"/>
  <tableColumns count="6">
    <tableColumn id="1" xr3:uid="{CF41A58D-2D08-4BC5-9834-523F3D0CCBA9}" uniqueName="1" name="RasterValue" queryTableFieldId="1"/>
    <tableColumn id="2" xr3:uid="{D7CD2F72-0DCA-45DB-B15E-06D8817CBB6F}" uniqueName="2" name="PixelSum" queryTableFieldId="2"/>
    <tableColumn id="3" xr3:uid="{F5C6A733-9E93-48DA-9C40-A6E8E32C20F8}" uniqueName="3" name="Percentage %" queryTableFieldId="3"/>
    <tableColumn id="4" xr3:uid="{ADE68F7D-BB89-46F2-B332-5164166E1DE9}" uniqueName="4" name="Area [metre^2]" queryTableFieldId="4"/>
    <tableColumn id="5" xr3:uid="{04DE9252-9982-4239-96D8-2802C98507E2}" uniqueName="5" name="km2" queryTableFieldId="5" dataDxfId="0">
      <calculatedColumnFormula>_2025[[#This Row],[Area '[metre^2']]]/1000000</calculatedColumnFormula>
    </tableColumn>
    <tableColumn id="6" xr3:uid="{DF9734E6-1138-4B3F-9295-A212BBAE8D06}" uniqueName="6" name="%" queryTableFieldId="6" dataDxfId="3">
      <calculatedColumnFormula>_2025[[#This Row],[km2]]/614.5613*100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5382-8D3E-4406-BD3D-6AD4202A66BC}">
  <dimension ref="A1:F10"/>
  <sheetViews>
    <sheetView workbookViewId="0">
      <selection activeCell="F2" sqref="F2:F3"/>
    </sheetView>
  </sheetViews>
  <sheetFormatPr baseColWidth="10" defaultRowHeight="14.4" x14ac:dyDescent="0.3"/>
  <cols>
    <col min="1" max="1" width="13.21875" bestFit="1" customWidth="1"/>
    <col min="2" max="2" width="11.109375" bestFit="1" customWidth="1"/>
    <col min="3" max="3" width="14.44140625" bestFit="1" customWidth="1"/>
    <col min="4" max="4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556986</v>
      </c>
      <c r="C2">
        <v>906</v>
      </c>
      <c r="D2">
        <v>55698600</v>
      </c>
      <c r="E2">
        <f>_2017[[#This Row],[Area '[metre^2']]]/1000000</f>
        <v>55.698599999999999</v>
      </c>
      <c r="F2">
        <f>_2017[[#This Row],[km2 ]]/614.5613*100</f>
        <v>9.063147972382902</v>
      </c>
    </row>
    <row r="3" spans="1:6" x14ac:dyDescent="0.3">
      <c r="A3" t="s">
        <v>8</v>
      </c>
      <c r="B3">
        <v>1666563</v>
      </c>
      <c r="C3">
        <v>2712</v>
      </c>
      <c r="D3">
        <v>166656300</v>
      </c>
      <c r="E3">
        <f>_2017[[#This Row],[Area '[metre^2']]]/1000000</f>
        <v>166.65629999999999</v>
      </c>
      <c r="F3">
        <f>_2017[[#This Row],[km2 ]]/614.5613*100</f>
        <v>27.117929488889065</v>
      </c>
    </row>
    <row r="4" spans="1:6" x14ac:dyDescent="0.3">
      <c r="A4" t="s">
        <v>10</v>
      </c>
      <c r="B4">
        <v>1539</v>
      </c>
      <c r="C4">
        <v>3</v>
      </c>
      <c r="D4">
        <v>153900</v>
      </c>
      <c r="E4">
        <f>_2017[[#This Row],[Area '[metre^2']]]/1000000</f>
        <v>0.15390000000000001</v>
      </c>
      <c r="F4">
        <f>_2017[[#This Row],[km2 ]]/614.5613*100</f>
        <v>2.5042253718221438E-2</v>
      </c>
    </row>
    <row r="5" spans="1:6" x14ac:dyDescent="0.3">
      <c r="A5" t="s">
        <v>9</v>
      </c>
      <c r="B5">
        <v>36986</v>
      </c>
      <c r="C5">
        <v>60</v>
      </c>
      <c r="D5">
        <v>3698600</v>
      </c>
      <c r="E5">
        <f>_2017[[#This Row],[Area '[metre^2']]]/1000000</f>
        <v>3.6985999999999999</v>
      </c>
      <c r="F5">
        <f>_2017[[#This Row],[km2 ]]/614.5613*100</f>
        <v>0.60182767772718526</v>
      </c>
    </row>
    <row r="6" spans="1:6" x14ac:dyDescent="0.3">
      <c r="A6" t="s">
        <v>11</v>
      </c>
      <c r="B6">
        <v>2556</v>
      </c>
      <c r="C6">
        <v>4</v>
      </c>
      <c r="D6">
        <v>255600</v>
      </c>
      <c r="E6">
        <f>_2017[[#This Row],[Area '[metre^2']]]/1000000</f>
        <v>0.25559999999999999</v>
      </c>
      <c r="F6">
        <f>_2017[[#This Row],[km2 ]]/614.5613*100</f>
        <v>4.1590643602192327E-2</v>
      </c>
    </row>
    <row r="7" spans="1:6" x14ac:dyDescent="0.3">
      <c r="A7" t="s">
        <v>12</v>
      </c>
      <c r="B7">
        <v>1670659</v>
      </c>
      <c r="C7">
        <v>2718</v>
      </c>
      <c r="D7">
        <v>167065900</v>
      </c>
      <c r="E7">
        <f>_2017[[#This Row],[Area '[metre^2']]]/1000000</f>
        <v>167.0659</v>
      </c>
      <c r="F7">
        <f>_2017[[#This Row],[km2 ]]/614.5613*100</f>
        <v>27.18457865797928</v>
      </c>
    </row>
    <row r="8" spans="1:6" x14ac:dyDescent="0.3">
      <c r="A8" t="s">
        <v>13</v>
      </c>
      <c r="B8">
        <v>138548</v>
      </c>
      <c r="C8">
        <v>225</v>
      </c>
      <c r="D8">
        <v>13854800</v>
      </c>
      <c r="E8">
        <f>_2017[[#This Row],[Area '[metre^2']]]/1000000</f>
        <v>13.854799999999999</v>
      </c>
      <c r="F8">
        <f>_2017[[#This Row],[km2 ]]/614.5613*100</f>
        <v>2.254421161892231</v>
      </c>
    </row>
    <row r="9" spans="1:6" x14ac:dyDescent="0.3">
      <c r="A9" t="s">
        <v>14</v>
      </c>
      <c r="B9">
        <v>2071776</v>
      </c>
      <c r="C9">
        <v>3371</v>
      </c>
      <c r="D9">
        <v>207177600</v>
      </c>
      <c r="E9">
        <f>_2017[[#This Row],[Area '[metre^2']]]/1000000</f>
        <v>207.17760000000001</v>
      </c>
      <c r="F9">
        <f>_2017[[#This Row],[km2 ]]/614.5613*100</f>
        <v>33.71146214380893</v>
      </c>
    </row>
    <row r="10" spans="1:6" x14ac:dyDescent="0.3">
      <c r="E10">
        <f>SUM(E2:E9)</f>
        <v>614.56129999999996</v>
      </c>
      <c r="F10">
        <f>_2017[[#This Row],[km2 ]]/614.5613*100</f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6479-3CC4-4923-9781-D4F9C266A90F}">
  <dimension ref="A1:F10"/>
  <sheetViews>
    <sheetView workbookViewId="0">
      <selection activeCell="K12" sqref="K12"/>
    </sheetView>
  </sheetViews>
  <sheetFormatPr baseColWidth="10" defaultRowHeight="14.4" x14ac:dyDescent="0.3"/>
  <cols>
    <col min="1" max="1" width="13.21875" bestFit="1" customWidth="1"/>
    <col min="2" max="2" width="11.109375" bestFit="1" customWidth="1"/>
    <col min="3" max="3" width="14.44140625" bestFit="1" customWidth="1"/>
    <col min="4" max="4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 spans="1:6" x14ac:dyDescent="0.3">
      <c r="A2" t="s">
        <v>7</v>
      </c>
      <c r="B2">
        <v>657386</v>
      </c>
      <c r="C2">
        <v>1070</v>
      </c>
      <c r="D2">
        <v>65738600</v>
      </c>
      <c r="E2" s="3">
        <f>_2025[[#This Row],[Area '[metre^2']]]/1000000</f>
        <v>65.738600000000005</v>
      </c>
      <c r="F2">
        <f>_2025[[#This Row],[km2]]/614.5613*100</f>
        <v>10.696833660043353</v>
      </c>
    </row>
    <row r="3" spans="1:6" x14ac:dyDescent="0.3">
      <c r="A3" t="s">
        <v>8</v>
      </c>
      <c r="B3">
        <v>1529528</v>
      </c>
      <c r="C3">
        <v>2489</v>
      </c>
      <c r="D3">
        <v>152952800</v>
      </c>
      <c r="E3">
        <f>_2025[[#This Row],[Area '[metre^2']]]/1000000</f>
        <v>152.9528</v>
      </c>
      <c r="F3">
        <f>_2025[[#This Row],[km2]]/614.5613*100</f>
        <v>24.888127514700326</v>
      </c>
    </row>
    <row r="4" spans="1:6" x14ac:dyDescent="0.3">
      <c r="A4" t="s">
        <v>10</v>
      </c>
      <c r="B4">
        <v>4</v>
      </c>
      <c r="C4">
        <v>0</v>
      </c>
      <c r="D4">
        <v>400</v>
      </c>
      <c r="E4">
        <f>_2025[[#This Row],[Area '[metre^2']]]/1000000</f>
        <v>4.0000000000000002E-4</v>
      </c>
      <c r="F4">
        <f>_2025[[#This Row],[km2]]/614.5613*100</f>
        <v>6.5087079189659355E-5</v>
      </c>
    </row>
    <row r="5" spans="1:6" x14ac:dyDescent="0.3">
      <c r="A5" t="s">
        <v>9</v>
      </c>
      <c r="B5">
        <v>30140</v>
      </c>
      <c r="C5">
        <v>49</v>
      </c>
      <c r="D5">
        <v>3014000</v>
      </c>
      <c r="E5">
        <f>_2025[[#This Row],[Area '[metre^2']]]/1000000</f>
        <v>3.0139999999999998</v>
      </c>
      <c r="F5">
        <f>_2025[[#This Row],[km2]]/614.5613*100</f>
        <v>0.49043114169408325</v>
      </c>
    </row>
    <row r="6" spans="1:6" x14ac:dyDescent="0.3">
      <c r="A6" t="s">
        <v>11</v>
      </c>
      <c r="B6">
        <v>7178</v>
      </c>
      <c r="C6">
        <v>12</v>
      </c>
      <c r="D6">
        <v>717800</v>
      </c>
      <c r="E6">
        <f>_2025[[#This Row],[Area '[metre^2']]]/1000000</f>
        <v>0.71779999999999999</v>
      </c>
      <c r="F6">
        <f>_2025[[#This Row],[km2]]/614.5613*100</f>
        <v>0.11679876360584371</v>
      </c>
    </row>
    <row r="7" spans="1:6" x14ac:dyDescent="0.3">
      <c r="A7" t="s">
        <v>12</v>
      </c>
      <c r="B7">
        <v>1388084</v>
      </c>
      <c r="C7">
        <v>2259</v>
      </c>
      <c r="D7">
        <v>138808400</v>
      </c>
      <c r="E7">
        <f>_2025[[#This Row],[Area '[metre^2']]]/1000000</f>
        <v>138.80840000000001</v>
      </c>
      <c r="F7">
        <f>_2025[[#This Row],[km2]]/614.5613*100</f>
        <v>22.586583307474779</v>
      </c>
    </row>
    <row r="8" spans="1:6" x14ac:dyDescent="0.3">
      <c r="A8" t="s">
        <v>13</v>
      </c>
      <c r="B8">
        <v>133588</v>
      </c>
      <c r="C8">
        <v>217</v>
      </c>
      <c r="D8">
        <v>13358800</v>
      </c>
      <c r="E8">
        <f>_2025[[#This Row],[Area '[metre^2']]]/1000000</f>
        <v>13.3588</v>
      </c>
      <c r="F8">
        <f>_2025[[#This Row],[km2]]/614.5613*100</f>
        <v>2.1737131836970538</v>
      </c>
    </row>
    <row r="9" spans="1:6" x14ac:dyDescent="0.3">
      <c r="A9" t="s">
        <v>14</v>
      </c>
      <c r="B9">
        <v>2399705</v>
      </c>
      <c r="C9">
        <v>3905</v>
      </c>
      <c r="D9">
        <v>239970500</v>
      </c>
      <c r="E9">
        <f>_2025[[#This Row],[Area '[metre^2']]]/1000000</f>
        <v>239.97049999999999</v>
      </c>
      <c r="F9">
        <f>_2025[[#This Row],[km2]]/614.5613*100</f>
        <v>39.047447341705379</v>
      </c>
    </row>
    <row r="10" spans="1:6" x14ac:dyDescent="0.3">
      <c r="E10">
        <f>SUM(E2:E9)</f>
        <v>614.56129999999996</v>
      </c>
      <c r="F10">
        <f>_2025[[#This Row],[km2]]/614.5613*100</f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5831-D871-4234-A20F-CCC62C928E22}">
  <dimension ref="A1:G20"/>
  <sheetViews>
    <sheetView tabSelected="1" workbookViewId="0">
      <selection activeCell="N22" sqref="N22"/>
    </sheetView>
  </sheetViews>
  <sheetFormatPr baseColWidth="10" defaultRowHeight="14.4" x14ac:dyDescent="0.3"/>
  <cols>
    <col min="1" max="1" width="13.5546875" customWidth="1"/>
    <col min="4" max="4" width="14.88671875" customWidth="1"/>
    <col min="5" max="5" width="13.44140625" customWidth="1"/>
  </cols>
  <sheetData>
    <row r="1" spans="1:5" x14ac:dyDescent="0.3">
      <c r="A1" s="4" t="s">
        <v>0</v>
      </c>
      <c r="B1" s="5" t="s">
        <v>15</v>
      </c>
      <c r="C1" s="5" t="s">
        <v>16</v>
      </c>
      <c r="D1" s="5" t="s">
        <v>17</v>
      </c>
      <c r="E1" s="5" t="s">
        <v>18</v>
      </c>
    </row>
    <row r="2" spans="1:5" x14ac:dyDescent="0.3">
      <c r="A2" s="6" t="s">
        <v>7</v>
      </c>
      <c r="B2" s="7">
        <f>_2017[[#This Row],[Area '[metre^2']]]/1000000</f>
        <v>55.698599999999999</v>
      </c>
      <c r="C2" s="8">
        <f>_2025[[#This Row],[Area '[metre^2']]]/1000000</f>
        <v>65.738600000000005</v>
      </c>
      <c r="D2" s="11" t="s">
        <v>19</v>
      </c>
      <c r="E2" s="11" t="s">
        <v>22</v>
      </c>
    </row>
    <row r="3" spans="1:5" x14ac:dyDescent="0.3">
      <c r="A3" s="9" t="s">
        <v>8</v>
      </c>
      <c r="B3" s="10">
        <f>_2017[[#This Row],[Area '[metre^2']]]/1000000</f>
        <v>166.65629999999999</v>
      </c>
      <c r="C3" s="10">
        <f>_2025[[#This Row],[Area '[metre^2']]]/1000000</f>
        <v>152.9528</v>
      </c>
      <c r="D3" s="12" t="s">
        <v>20</v>
      </c>
      <c r="E3" s="12" t="s">
        <v>23</v>
      </c>
    </row>
    <row r="4" spans="1:5" x14ac:dyDescent="0.3">
      <c r="A4" s="6" t="s">
        <v>11</v>
      </c>
      <c r="B4" s="7">
        <v>0.25559999999999999</v>
      </c>
      <c r="C4" s="7">
        <v>0.71779999999999999</v>
      </c>
      <c r="D4" s="13" t="s">
        <v>25</v>
      </c>
      <c r="E4" s="13" t="s">
        <v>24</v>
      </c>
    </row>
    <row r="5" spans="1:5" x14ac:dyDescent="0.3">
      <c r="A5" s="6" t="s">
        <v>13</v>
      </c>
      <c r="B5" s="7">
        <v>13.854799999999999</v>
      </c>
      <c r="C5" s="7">
        <v>13.3588</v>
      </c>
      <c r="D5" s="12" t="s">
        <v>21</v>
      </c>
      <c r="E5" s="12" t="s">
        <v>26</v>
      </c>
    </row>
    <row r="19" spans="7:7" x14ac:dyDescent="0.3">
      <c r="G19" s="1"/>
    </row>
    <row r="20" spans="7:7" x14ac:dyDescent="0.3">
      <c r="G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2C0D75-743C-414D-8A8B-755B4029E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2017</vt:lpstr>
      <vt:lpstr>2025</vt:lpstr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Uribe Moreno</dc:creator>
  <cp:lastModifiedBy>Cristian Uribe Moreno</cp:lastModifiedBy>
  <dcterms:created xsi:type="dcterms:W3CDTF">2026-10-03T13:55:33Z</dcterms:created>
  <dcterms:modified xsi:type="dcterms:W3CDTF">2026-10-03T14:24:25Z</dcterms:modified>
</cp:coreProperties>
</file>